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fitri\Downloads\"/>
    </mc:Choice>
  </mc:AlternateContent>
  <xr:revisionPtr revIDLastSave="0" documentId="13_ncr:1_{2B656744-0A90-4ED0-AA7F-F190DD3E2EDC}" xr6:coauthVersionLast="47" xr6:coauthVersionMax="47" xr10:uidLastSave="{00000000-0000-0000-0000-000000000000}"/>
  <bookViews>
    <workbookView xWindow="-110" yWindow="-110" windowWidth="19420" windowHeight="10300" xr2:uid="{94563AE1-CB28-4638-8C80-39116C011796}"/>
  </bookViews>
  <sheets>
    <sheet name="Database" sheetId="13" r:id="rId1"/>
    <sheet name="Filter" sheetId="14" r:id="rId2"/>
  </sheets>
  <definedNames>
    <definedName name="_xlnm._FilterDatabase" localSheetId="0" hidden="1">Database!$B$5:$K$10</definedName>
    <definedName name="_xlnm.Criteria" localSheetId="1">Filter!$A$1:$B$2</definedName>
    <definedName name="_xlnm.Extract" localSheetId="1">Filter!$A$6:$J$6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3" l="1"/>
  <c r="B6" i="13"/>
  <c r="B7" i="13"/>
  <c r="B8" i="13"/>
  <c r="B9" i="13"/>
  <c r="B6" i="14"/>
  <c r="C6" i="14"/>
  <c r="D6" i="14"/>
  <c r="E6" i="14"/>
  <c r="F6" i="14"/>
  <c r="G6" i="14"/>
  <c r="H6" i="14"/>
  <c r="I6" i="14"/>
  <c r="J6" i="14"/>
  <c r="A6" i="14"/>
</calcChain>
</file>

<file path=xl/sharedStrings.xml><?xml version="1.0" encoding="utf-8"?>
<sst xmlns="http://schemas.openxmlformats.org/spreadsheetml/2006/main" count="94" uniqueCount="50">
  <si>
    <t xml:space="preserve"> </t>
  </si>
  <si>
    <t>Dubai</t>
  </si>
  <si>
    <t>Sorbitol</t>
  </si>
  <si>
    <t>India</t>
  </si>
  <si>
    <t>America</t>
  </si>
  <si>
    <t>Canada</t>
  </si>
  <si>
    <t>Consignee</t>
  </si>
  <si>
    <t/>
  </si>
  <si>
    <t>No</t>
  </si>
  <si>
    <t>Produk</t>
  </si>
  <si>
    <t>Biaya</t>
  </si>
  <si>
    <t>Negara Tujuan</t>
  </si>
  <si>
    <t>USERFORM VBA EXCEL</t>
  </si>
  <si>
    <t>Tanggal</t>
  </si>
  <si>
    <t>Shipper</t>
  </si>
  <si>
    <t>GW</t>
  </si>
  <si>
    <t>NW</t>
  </si>
  <si>
    <t>Amount</t>
  </si>
  <si>
    <t>Sony MDR</t>
  </si>
  <si>
    <t>233,002</t>
  </si>
  <si>
    <t>233,009</t>
  </si>
  <si>
    <t>268,009</t>
  </si>
  <si>
    <t>200.000</t>
  </si>
  <si>
    <t>2367,009</t>
  </si>
  <si>
    <t>300.000</t>
  </si>
  <si>
    <t>Jimmy Store</t>
  </si>
  <si>
    <t>239,008</t>
  </si>
  <si>
    <t>230,007</t>
  </si>
  <si>
    <t xml:space="preserve">Bag </t>
  </si>
  <si>
    <t>PT Fitri Jawa</t>
  </si>
  <si>
    <t>Google World</t>
  </si>
  <si>
    <t>2300,990</t>
  </si>
  <si>
    <t>387,009</t>
  </si>
  <si>
    <t>23678,009</t>
  </si>
  <si>
    <t>500.000</t>
  </si>
  <si>
    <t>Chip</t>
  </si>
  <si>
    <t>PT Jaya Abadi</t>
  </si>
  <si>
    <t>PT ZX110AP</t>
  </si>
  <si>
    <t>CV Database Oke</t>
  </si>
  <si>
    <t>Filter Ou</t>
  </si>
  <si>
    <t>937,00</t>
  </si>
  <si>
    <t>3846,009</t>
  </si>
  <si>
    <t>2374,846</t>
  </si>
  <si>
    <t>Jelebi</t>
  </si>
  <si>
    <t>PT ABC</t>
  </si>
  <si>
    <t>Wahyu Redjo</t>
  </si>
  <si>
    <t>2300,009</t>
  </si>
  <si>
    <t>3827,008</t>
  </si>
  <si>
    <t>486,008</t>
  </si>
  <si>
    <t>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</si>
</sst>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family val="2"/>
      <charset val="1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66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190500</xdr:rowOff>
    </xdr:from>
    <xdr:to>
      <xdr:col>10</xdr:col>
      <xdr:colOff>336550</xdr:colOff>
      <xdr:row>2</xdr:row>
      <xdr:rowOff>19050</xdr:rowOff>
    </xdr:to>
    <xdr:sp macro="[0]!tamp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A85A0D-694B-7D8C-F2C6-3A0FDE3BF91F}"/>
            </a:ext>
          </a:extLst>
        </xdr:cNvPr>
        <xdr:cNvSpPr/>
      </xdr:nvSpPr>
      <xdr:spPr bwMode="auto">
        <a:xfrm>
          <a:off x="9334500" y="190500"/>
          <a:ext cx="1143000" cy="3238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1100" b="1"/>
            <a:t>Form</a:t>
          </a:r>
          <a:r>
            <a:rPr lang="en-ID" sz="1100" b="1" baseline="0"/>
            <a:t> Input</a:t>
          </a:r>
          <a:endParaRPr lang="en-ID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6AA7EC-51A0-48BB-B8B5-9A254280F6DF}" name="Table1" displayName="Table1" ref="B5:K10" totalsRowShown="0" headerRowDxfId="1">
  <tableColumns count="10">
    <tableColumn id="1" xr3:uid="{FBEAF490-CEC8-4268-AE9A-0A41B89C52A5}" name="No"/>
    <tableColumn id="10" xr3:uid="{0CD3B7B7-E543-418B-9262-5AF4A6882EBE}" name="Tanggal" dataDxfId="0"/>
    <tableColumn id="2" xr3:uid="{FE646C51-4A09-49D3-A374-4290AA255A6F}" name="Shipper"/>
    <tableColumn id="3" xr3:uid="{AD62572A-A51F-4F76-ACC5-3064874D24F8}" name="Consignee"/>
    <tableColumn id="4" xr3:uid="{A5FEBD67-EF68-41BA-ACDF-0A7865D5A554}" name="Negara Tujuan"/>
    <tableColumn id="5" xr3:uid="{DFF6BB69-328A-4C6C-B8F9-B923F1C9243B}" name="GW"/>
    <tableColumn id="6" xr3:uid="{E6251949-A030-49A5-9E4D-CE8A8648BB21}" name="NW"/>
    <tableColumn id="7" xr3:uid="{D6552546-C010-4CF9-A30F-EFAFE2517A0F}" name="Amount"/>
    <tableColumn id="8" xr3:uid="{880A9FC9-7033-4B11-8C3A-6D4F1D630EEB}" name="Biaya"/>
    <tableColumn id="9" xr3:uid="{63B98D3A-2E60-457D-896B-9F7E887087E9}" name="Produk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D71BD-364D-47AF-AEAE-C96A321AA265}">
  <sheetPr codeName="Sheet6"/>
  <dimension ref="B1:K21"/>
  <sheetViews>
    <sheetView tabSelected="1" workbookViewId="0">
      <selection activeCell="E4" sqref="E4"/>
    </sheetView>
  </sheetViews>
  <sheetFormatPr defaultRowHeight="12.5" x14ac:dyDescent="0.25"/>
  <cols>
    <col min="2" max="2" width="5.1796875" customWidth="1"/>
    <col min="3" max="3" width="15.81640625" customWidth="1"/>
    <col min="4" max="4" width="18.36328125" customWidth="1"/>
    <col min="5" max="5" width="19.36328125" customWidth="1"/>
    <col min="6" max="6" width="15.54296875" customWidth="1"/>
    <col min="7" max="7" width="14" customWidth="1"/>
    <col min="8" max="8" width="16.90625" customWidth="1"/>
    <col min="9" max="9" width="15.36328125" customWidth="1"/>
    <col min="10" max="10" width="15.90625" customWidth="1"/>
    <col min="11" max="11" width="15.36328125" customWidth="1"/>
  </cols>
  <sheetData>
    <row r="1" spans="2:11" ht="26.5" customHeight="1" x14ac:dyDescent="0.25">
      <c r="B1" s="3" t="s">
        <v>12</v>
      </c>
      <c r="C1" s="3"/>
      <c r="D1" s="3"/>
      <c r="E1" s="3"/>
      <c r="F1" s="3"/>
      <c r="G1" s="3"/>
      <c r="H1" s="3"/>
      <c r="I1" s="3"/>
      <c r="J1" s="3"/>
      <c r="K1" s="3"/>
    </row>
    <row r="5" spans="2:11" ht="27.5" customHeight="1" x14ac:dyDescent="0.25">
      <c r="B5" s="1" t="s">
        <v>8</v>
      </c>
      <c r="C5" s="1" t="s">
        <v>13</v>
      </c>
      <c r="D5" s="1" t="s">
        <v>14</v>
      </c>
      <c r="E5" s="1" t="s">
        <v>6</v>
      </c>
      <c r="F5" s="1" t="s">
        <v>11</v>
      </c>
      <c r="G5" s="1" t="s">
        <v>15</v>
      </c>
      <c r="H5" s="1" t="s">
        <v>16</v>
      </c>
      <c r="I5" s="1" t="s">
        <v>17</v>
      </c>
      <c r="J5" s="1" t="s">
        <v>10</v>
      </c>
      <c r="K5" s="1" t="s">
        <v>9</v>
      </c>
    </row>
    <row r="6" spans="2:11" ht="13" x14ac:dyDescent="0.25">
      <c r="B6" s="1">
        <f>ROW()-5</f>
        <v>1</v>
      </c>
      <c r="C6" s="2">
        <v>46192</v>
      </c>
      <c r="D6" s="1" t="s">
        <v>36</v>
      </c>
      <c r="E6" s="1" t="s">
        <v>18</v>
      </c>
      <c r="F6" s="1" t="s">
        <v>1</v>
      </c>
      <c r="G6" s="1" t="s">
        <v>19</v>
      </c>
      <c r="H6" s="1" t="s">
        <v>20</v>
      </c>
      <c r="I6" s="1" t="s">
        <v>21</v>
      </c>
      <c r="J6" s="1" t="s">
        <v>22</v>
      </c>
      <c r="K6" s="1" t="s">
        <v>2</v>
      </c>
    </row>
    <row r="7" spans="2:11" ht="13" x14ac:dyDescent="0.25">
      <c r="B7" s="1">
        <f>ROW()-5</f>
        <v>2</v>
      </c>
      <c r="C7" s="2">
        <v>46193</v>
      </c>
      <c r="D7" s="1" t="s">
        <v>37</v>
      </c>
      <c r="E7" s="1" t="s">
        <v>25</v>
      </c>
      <c r="F7" s="1" t="s">
        <v>5</v>
      </c>
      <c r="G7" s="1" t="s">
        <v>26</v>
      </c>
      <c r="H7" s="1" t="s">
        <v>27</v>
      </c>
      <c r="I7" s="1" t="s">
        <v>23</v>
      </c>
      <c r="J7" s="1" t="s">
        <v>24</v>
      </c>
      <c r="K7" s="1" t="s">
        <v>28</v>
      </c>
    </row>
    <row r="8" spans="2:11" ht="13" x14ac:dyDescent="0.25">
      <c r="B8" s="1">
        <f>ROW()-5</f>
        <v>3</v>
      </c>
      <c r="C8" s="2">
        <v>46194</v>
      </c>
      <c r="D8" s="1" t="s">
        <v>29</v>
      </c>
      <c r="E8" s="1" t="s">
        <v>30</v>
      </c>
      <c r="F8" s="1" t="s">
        <v>4</v>
      </c>
      <c r="G8" s="1" t="s">
        <v>31</v>
      </c>
      <c r="H8" s="1" t="s">
        <v>32</v>
      </c>
      <c r="I8" s="1" t="s">
        <v>33</v>
      </c>
      <c r="J8" s="1" t="s">
        <v>34</v>
      </c>
      <c r="K8" s="1" t="s">
        <v>35</v>
      </c>
    </row>
    <row r="9" spans="2:11" ht="13" x14ac:dyDescent="0.25">
      <c r="B9" s="1">
        <f>ROW()-5</f>
        <v>4</v>
      </c>
      <c r="C9" s="2">
        <v>46194</v>
      </c>
      <c r="D9" s="1" t="s">
        <v>38</v>
      </c>
      <c r="E9" s="1" t="s">
        <v>39</v>
      </c>
      <c r="F9" s="1" t="s">
        <v>3</v>
      </c>
      <c r="G9" s="1" t="s">
        <v>40</v>
      </c>
      <c r="H9" s="1" t="s">
        <v>41</v>
      </c>
      <c r="I9" s="1" t="s">
        <v>42</v>
      </c>
      <c r="J9" s="1" t="s">
        <v>22</v>
      </c>
      <c r="K9" s="1" t="s">
        <v>43</v>
      </c>
    </row>
    <row r="10" spans="2:11" ht="13" x14ac:dyDescent="0.25">
      <c r="B10" s="1">
        <f>ROW()-5</f>
        <v>5</v>
      </c>
      <c r="C10" s="2">
        <v>46195</v>
      </c>
      <c r="D10" s="1" t="s">
        <v>44</v>
      </c>
      <c r="E10" s="1" t="s">
        <v>45</v>
      </c>
      <c r="F10" s="1" t="s">
        <v>1</v>
      </c>
      <c r="G10" s="1" t="s">
        <v>46</v>
      </c>
      <c r="H10" s="1" t="s">
        <v>47</v>
      </c>
      <c r="I10" s="1" t="s">
        <v>48</v>
      </c>
      <c r="J10" s="1" t="s">
        <v>24</v>
      </c>
      <c r="K10" s="1" t="s">
        <v>49</v>
      </c>
    </row>
    <row r="21" spans="4:4" x14ac:dyDescent="0.25">
      <c r="D21" t="s">
        <v>0</v>
      </c>
    </row>
  </sheetData>
  <mergeCells count="1">
    <mergeCell ref="B1:K1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212F-0823-406C-AEE0-1A761D305FB3}">
  <sheetPr codeName="Sheet7"/>
  <dimension ref="A1:J12"/>
  <sheetViews>
    <sheetView workbookViewId="0">
      <selection activeCell="B6" sqref="B6"/>
    </sheetView>
  </sheetViews>
  <sheetFormatPr defaultRowHeight="12.5" x14ac:dyDescent="0.25"/>
  <cols>
    <col min="2" max="2" width="13.54296875" customWidth="1"/>
    <col min="3" max="3" width="14.08984375" customWidth="1"/>
    <col min="4" max="4" width="13.08984375" customWidth="1"/>
    <col min="5" max="5" width="12.36328125" bestFit="1" customWidth="1"/>
    <col min="6" max="6" width="14.7265625" customWidth="1"/>
    <col min="7" max="7" width="15.36328125" customWidth="1"/>
    <col min="8" max="8" width="14.6328125" customWidth="1"/>
    <col min="9" max="9" width="13.6328125" customWidth="1"/>
    <col min="10" max="10" width="16.26953125" customWidth="1"/>
  </cols>
  <sheetData>
    <row r="1" spans="1:10" x14ac:dyDescent="0.25">
      <c r="A1" t="s">
        <v>8</v>
      </c>
      <c r="B1" t="s">
        <v>7</v>
      </c>
    </row>
    <row r="6" spans="1:10" x14ac:dyDescent="0.25">
      <c r="A6" t="str">
        <f>Table1[[#Headers],[No]]</f>
        <v>No</v>
      </c>
      <c r="B6" t="str">
        <f>Table1[[#Headers],[Tanggal]]</f>
        <v>Tanggal</v>
      </c>
      <c r="C6" t="str">
        <f>Table1[[#Headers],[Shipper]]</f>
        <v>Shipper</v>
      </c>
      <c r="D6" t="str">
        <f>Table1[[#Headers],[Consignee]]</f>
        <v>Consignee</v>
      </c>
      <c r="E6" t="str">
        <f>Table1[[#Headers],[Negara Tujuan]]</f>
        <v>Negara Tujuan</v>
      </c>
      <c r="F6" t="str">
        <f>Table1[[#Headers],[GW]]</f>
        <v>GW</v>
      </c>
      <c r="G6" t="str">
        <f>Table1[[#Headers],[NW]]</f>
        <v>NW</v>
      </c>
      <c r="H6" t="str">
        <f>Table1[[#Headers],[Amount]]</f>
        <v>Amount</v>
      </c>
      <c r="I6" t="str">
        <f>Table1[[#Headers],[Biaya]]</f>
        <v>Biaya</v>
      </c>
      <c r="J6" t="str">
        <f>Table1[[#Headers],[Produk]]</f>
        <v>Produk</v>
      </c>
    </row>
    <row r="7" spans="1:10" ht="13" x14ac:dyDescent="0.25">
      <c r="A7" s="1">
        <v>1</v>
      </c>
      <c r="B7" s="2">
        <v>46192</v>
      </c>
      <c r="C7" s="1" t="s">
        <v>36</v>
      </c>
      <c r="D7" s="1" t="s">
        <v>18</v>
      </c>
      <c r="E7" s="1" t="s">
        <v>1</v>
      </c>
      <c r="F7" s="1" t="s">
        <v>19</v>
      </c>
      <c r="G7" s="1" t="s">
        <v>20</v>
      </c>
      <c r="H7" s="1" t="s">
        <v>21</v>
      </c>
      <c r="I7" s="1" t="s">
        <v>22</v>
      </c>
      <c r="J7" s="1" t="s">
        <v>2</v>
      </c>
    </row>
    <row r="8" spans="1:10" ht="13" x14ac:dyDescent="0.25">
      <c r="A8" s="1">
        <v>2</v>
      </c>
      <c r="B8" s="2">
        <v>46193</v>
      </c>
      <c r="C8" s="1" t="s">
        <v>37</v>
      </c>
      <c r="D8" s="1" t="s">
        <v>25</v>
      </c>
      <c r="E8" s="1" t="s">
        <v>5</v>
      </c>
      <c r="F8" s="1" t="s">
        <v>26</v>
      </c>
      <c r="G8" s="1" t="s">
        <v>27</v>
      </c>
      <c r="H8" s="1" t="s">
        <v>23</v>
      </c>
      <c r="I8" s="1" t="s">
        <v>24</v>
      </c>
      <c r="J8" s="1" t="s">
        <v>28</v>
      </c>
    </row>
    <row r="9" spans="1:10" ht="13" x14ac:dyDescent="0.25">
      <c r="A9" s="1">
        <v>3</v>
      </c>
      <c r="B9" s="2">
        <v>46194</v>
      </c>
      <c r="C9" s="1" t="s">
        <v>29</v>
      </c>
      <c r="D9" s="1" t="s">
        <v>30</v>
      </c>
      <c r="E9" s="1" t="s">
        <v>4</v>
      </c>
      <c r="F9" s="1" t="s">
        <v>31</v>
      </c>
      <c r="G9" s="1" t="s">
        <v>32</v>
      </c>
      <c r="H9" s="1" t="s">
        <v>33</v>
      </c>
      <c r="I9" s="1" t="s">
        <v>34</v>
      </c>
      <c r="J9" s="1" t="s">
        <v>35</v>
      </c>
    </row>
    <row r="10" spans="1:10" ht="13" x14ac:dyDescent="0.25">
      <c r="A10" s="1">
        <v>4</v>
      </c>
      <c r="B10" s="2">
        <v>46194</v>
      </c>
      <c r="C10" s="1" t="s">
        <v>38</v>
      </c>
      <c r="D10" s="1" t="s">
        <v>39</v>
      </c>
      <c r="E10" s="1" t="s">
        <v>3</v>
      </c>
      <c r="F10" s="1" t="s">
        <v>40</v>
      </c>
      <c r="G10" s="1" t="s">
        <v>41</v>
      </c>
      <c r="H10" s="1" t="s">
        <v>42</v>
      </c>
      <c r="I10" s="1" t="s">
        <v>22</v>
      </c>
      <c r="J10" s="1" t="s">
        <v>43</v>
      </c>
    </row>
    <row r="11" spans="1:10" ht="13" x14ac:dyDescent="0.25">
      <c r="A11" s="1">
        <v>5</v>
      </c>
      <c r="B11" s="2">
        <v>46195</v>
      </c>
      <c r="C11" s="1" t="s">
        <v>44</v>
      </c>
      <c r="D11" s="1" t="s">
        <v>45</v>
      </c>
      <c r="E11" s="1" t="s">
        <v>1</v>
      </c>
      <c r="F11" s="1" t="s">
        <v>46</v>
      </c>
      <c r="G11" s="1" t="s">
        <v>47</v>
      </c>
      <c r="H11" s="1" t="s">
        <v>48</v>
      </c>
      <c r="I11" s="1" t="s">
        <v>24</v>
      </c>
      <c r="J11" s="1" t="s">
        <v>49</v>
      </c>
    </row>
    <row r="12" spans="1:10" ht="13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Database</vt:lpstr>
      <vt:lpstr>Filter</vt:lpstr>
      <vt:lpstr>Filter!Criteria</vt:lpstr>
      <vt:lpstr>Filter!Extract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Validasi KTA Kadin</dc:creator>
  <cp:lastModifiedBy>beachyxfitri@gmail.com</cp:lastModifiedBy>
  <dcterms:created xsi:type="dcterms:W3CDTF">2015-04-22T02:50:35Z</dcterms:created>
  <dcterms:modified xsi:type="dcterms:W3CDTF">2026-06-22T03:22:31Z</dcterms:modified>
</cp:coreProperties>
</file>